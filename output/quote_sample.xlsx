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0" fillId="3" borderId="1" pivotButton="0" quotePrefix="0" xfId="0"/>
    <xf numFmtId="4" fontId="0" fillId="3" borderId="1" pivotButton="0" quotePrefix="0" xfId="0"/>
    <xf numFmtId="0" fontId="3" fillId="0" borderId="0" pivotButton="0" quotePrefix="0" xfId="0"/>
    <xf numFmtId="4" fontId="4" fillId="0" borderId="0" pivotButton="0" quotePrefix="0" xfId="0"/>
    <xf numFmtId="4" fontId="3" fillId="0" borderId="0" pivotButton="0" quotePrefix="0" xfId="0"/>
    <xf numFmtId="164" fontId="0" fillId="0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34" customWidth="1" min="3" max="3"/>
    <col width="16" customWidth="1" min="4" max="4"/>
    <col width="18" customWidth="1" min="5" max="5"/>
    <col width="7" customWidth="1" min="6" max="6"/>
    <col width="16" customWidth="1" min="7" max="7"/>
    <col width="18" customWidth="1" min="8" max="8"/>
  </cols>
  <sheetData>
    <row r="1">
      <c r="A1" s="1" t="inlineStr">
        <is>
          <t>Quote: Robot gripper prototype</t>
        </is>
      </c>
    </row>
    <row r="3">
      <c r="A3" s="2" t="inlineStr">
        <is>
          <t>#</t>
        </is>
      </c>
      <c r="B3" s="2" t="inlineStr">
        <is>
          <t>Part No.</t>
        </is>
      </c>
      <c r="C3" s="2" t="inlineStr">
        <is>
          <t>Description</t>
        </is>
      </c>
      <c r="D3" s="2" t="inlineStr">
        <is>
          <t>Material</t>
        </is>
      </c>
      <c r="E3" s="2" t="inlineStr">
        <is>
          <t>Process</t>
        </is>
      </c>
      <c r="F3" s="2" t="inlineStr">
        <is>
          <t>Qty</t>
        </is>
      </c>
      <c r="G3" s="2" t="inlineStr">
        <is>
          <t>Unit cost (INR)</t>
        </is>
      </c>
      <c r="H3" s="2" t="inlineStr">
        <is>
          <t>Line total (INR)</t>
        </is>
      </c>
    </row>
    <row r="4">
      <c r="A4" s="3" t="n">
        <v>1</v>
      </c>
      <c r="B4" s="3" t="inlineStr">
        <is>
          <t>BRK-001</t>
        </is>
      </c>
      <c r="C4" s="3" t="inlineStr">
        <is>
          <t>Motor mounting bracket</t>
        </is>
      </c>
      <c r="D4" s="3" t="inlineStr">
        <is>
          <t>Aluminium 6061</t>
        </is>
      </c>
      <c r="E4" s="3" t="inlineStr">
        <is>
          <t>CNC milling</t>
        </is>
      </c>
      <c r="F4" s="3" t="n">
        <v>4</v>
      </c>
      <c r="G4" s="4" t="n">
        <v>850</v>
      </c>
      <c r="H4" s="4">
        <f>F4*G4</f>
        <v/>
      </c>
    </row>
    <row r="5">
      <c r="A5" s="5" t="n">
        <v>2</v>
      </c>
      <c r="B5" s="5" t="inlineStr">
        <is>
          <t>PLT-002</t>
        </is>
      </c>
      <c r="C5" s="5" t="inlineStr">
        <is>
          <t>Base plate 300x200x6</t>
        </is>
      </c>
      <c r="D5" s="5" t="inlineStr">
        <is>
          <t>Mild steel</t>
        </is>
      </c>
      <c r="E5" s="5" t="inlineStr">
        <is>
          <t>Laser cut + bend</t>
        </is>
      </c>
      <c r="F5" s="5" t="n">
        <v>1</v>
      </c>
      <c r="G5" s="6" t="n">
        <v>1200</v>
      </c>
      <c r="H5" s="6">
        <f>F5*G5</f>
        <v/>
      </c>
    </row>
    <row r="6">
      <c r="A6" s="3" t="n">
        <v>3</v>
      </c>
      <c r="B6" s="3" t="inlineStr">
        <is>
          <t>SHF-003</t>
        </is>
      </c>
      <c r="C6" s="3" t="inlineStr">
        <is>
          <t>Drive shaft D12 x 150</t>
        </is>
      </c>
      <c r="D6" s="3" t="inlineStr">
        <is>
          <t>EN8 steel</t>
        </is>
      </c>
      <c r="E6" s="3" t="inlineStr">
        <is>
          <t>CNC turning</t>
        </is>
      </c>
      <c r="F6" s="3" t="n">
        <v>2</v>
      </c>
      <c r="G6" s="4" t="n">
        <v>640</v>
      </c>
      <c r="H6" s="4">
        <f>F6*G6</f>
        <v/>
      </c>
    </row>
    <row r="7">
      <c r="A7" s="5" t="n">
        <v>4</v>
      </c>
      <c r="B7" s="5" t="inlineStr">
        <is>
          <t>BRG-004</t>
        </is>
      </c>
      <c r="C7" s="5" t="inlineStr">
        <is>
          <t>Deep groove ball bearing 6201</t>
        </is>
      </c>
      <c r="D7" s="5" t="inlineStr">
        <is>
          <t>Steel</t>
        </is>
      </c>
      <c r="E7" s="5" t="inlineStr">
        <is>
          <t>Bought-out</t>
        </is>
      </c>
      <c r="F7" s="5" t="n">
        <v>4</v>
      </c>
      <c r="G7" s="6" t="n">
        <v>95</v>
      </c>
      <c r="H7" s="6">
        <f>F7*G7</f>
        <v/>
      </c>
    </row>
    <row r="8">
      <c r="A8" s="3" t="n">
        <v>5</v>
      </c>
      <c r="B8" s="3" t="inlineStr">
        <is>
          <t>SCR-005</t>
        </is>
      </c>
      <c r="C8" s="3" t="inlineStr">
        <is>
          <t>M5x12 socket head cap screw</t>
        </is>
      </c>
      <c r="D8" s="3" t="inlineStr">
        <is>
          <t>Stainless A2</t>
        </is>
      </c>
      <c r="E8" s="3" t="inlineStr">
        <is>
          <t>Bought-out</t>
        </is>
      </c>
      <c r="F8" s="3" t="n">
        <v>24</v>
      </c>
      <c r="G8" s="4" t="n">
        <v>6</v>
      </c>
      <c r="H8" s="4">
        <f>F8*G8</f>
        <v/>
      </c>
    </row>
    <row r="9">
      <c r="A9" s="5" t="n">
        <v>6</v>
      </c>
      <c r="B9" s="5" t="inlineStr">
        <is>
          <t>COV-006</t>
        </is>
      </c>
      <c r="C9" s="5" t="inlineStr">
        <is>
          <t>Electronics cover</t>
        </is>
      </c>
      <c r="D9" s="5" t="inlineStr">
        <is>
          <t>PETG</t>
        </is>
      </c>
      <c r="E9" s="5" t="inlineStr">
        <is>
          <t>3D printing</t>
        </is>
      </c>
      <c r="F9" s="5" t="n">
        <v>1</v>
      </c>
      <c r="G9" s="6" t="n">
        <v>450</v>
      </c>
      <c r="H9" s="6">
        <f>F9*G9</f>
        <v/>
      </c>
    </row>
    <row r="10">
      <c r="A10" s="3" t="n">
        <v>7</v>
      </c>
      <c r="B10" s="3" t="inlineStr">
        <is>
          <t>SPC-007</t>
        </is>
      </c>
      <c r="C10" s="3" t="inlineStr">
        <is>
          <t>Standoff M3x10</t>
        </is>
      </c>
      <c r="D10" s="3" t="inlineStr">
        <is>
          <t>Brass</t>
        </is>
      </c>
      <c r="E10" s="3" t="inlineStr">
        <is>
          <t>Bought-out</t>
        </is>
      </c>
      <c r="F10" s="3" t="n">
        <v>8</v>
      </c>
      <c r="G10" s="4" t="n">
        <v>12</v>
      </c>
      <c r="H10" s="4">
        <f>F10*G10</f>
        <v/>
      </c>
    </row>
    <row r="11">
      <c r="A11" s="5" t="n">
        <v>8</v>
      </c>
      <c r="B11" s="5" t="inlineStr">
        <is>
          <t>GRP-008</t>
        </is>
      </c>
      <c r="C11" s="5" t="inlineStr">
        <is>
          <t>Gripper finger</t>
        </is>
      </c>
      <c r="D11" s="5" t="inlineStr">
        <is>
          <t>PA12 Nylon</t>
        </is>
      </c>
      <c r="E11" s="5" t="inlineStr">
        <is>
          <t>3D printing</t>
        </is>
      </c>
      <c r="F11" s="5" t="n">
        <v>2</v>
      </c>
      <c r="G11" s="6" t="n">
        <v>380</v>
      </c>
      <c r="H11" s="6">
        <f>F11*G11</f>
        <v/>
      </c>
    </row>
    <row r="13">
      <c r="G13" s="7" t="inlineStr">
        <is>
          <t>Subtotal</t>
        </is>
      </c>
      <c r="H13" s="8">
        <f>SUM(H4:H11)</f>
        <v/>
      </c>
    </row>
    <row r="14">
      <c r="G14" s="7" t="inlineStr">
        <is>
          <t>Markup (15%)</t>
        </is>
      </c>
      <c r="H14" s="8">
        <f>H13*0.15</f>
        <v/>
      </c>
    </row>
    <row r="15">
      <c r="G15" s="7" t="inlineStr">
        <is>
          <t>Tax (18%)</t>
        </is>
      </c>
      <c r="H15" s="8">
        <f>(H13+H14)*0.18</f>
        <v/>
      </c>
    </row>
    <row r="16">
      <c r="G16" s="7" t="inlineStr">
        <is>
          <t>Grand total</t>
        </is>
      </c>
      <c r="H16" s="9">
        <f>H13+H14+H15</f>
        <v/>
      </c>
    </row>
  </sheetData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0" customWidth="1" min="4" max="4"/>
  </cols>
  <sheetData>
    <row r="1">
      <c r="A1" s="1" t="inlineStr">
        <is>
          <t>Cost summary: Robot gripper prototype</t>
        </is>
      </c>
    </row>
    <row r="3">
      <c r="A3" s="2" t="inlineStr">
        <is>
          <t>Process</t>
        </is>
      </c>
      <c r="B3" s="2" t="inlineStr">
        <is>
          <t>Total qty</t>
        </is>
      </c>
      <c r="C3" s="2" t="inlineStr">
        <is>
          <t>Cost (INR)</t>
        </is>
      </c>
      <c r="D3" s="2" t="inlineStr">
        <is>
          <t>Share</t>
        </is>
      </c>
    </row>
    <row r="4">
      <c r="A4" s="3" t="inlineStr">
        <is>
          <t>CNC milling</t>
        </is>
      </c>
      <c r="B4" s="3" t="n">
        <v>4</v>
      </c>
      <c r="C4" s="4" t="n">
        <v>3400</v>
      </c>
      <c r="D4" s="10" t="n">
        <v>0.4409857328145266</v>
      </c>
    </row>
    <row r="5">
      <c r="A5" s="3" t="inlineStr">
        <is>
          <t>CNC turning</t>
        </is>
      </c>
      <c r="B5" s="3" t="n">
        <v>2</v>
      </c>
      <c r="C5" s="4" t="n">
        <v>1280</v>
      </c>
      <c r="D5" s="10" t="n">
        <v>0.1660181582360571</v>
      </c>
    </row>
    <row r="6">
      <c r="A6" s="3" t="inlineStr">
        <is>
          <t>3D printing</t>
        </is>
      </c>
      <c r="B6" s="3" t="n">
        <v>3</v>
      </c>
      <c r="C6" s="4" t="n">
        <v>1210</v>
      </c>
      <c r="D6" s="10" t="n">
        <v>0.1569390402075227</v>
      </c>
    </row>
    <row r="7">
      <c r="A7" s="3" t="inlineStr">
        <is>
          <t>Laser cut + bend</t>
        </is>
      </c>
      <c r="B7" s="3" t="n">
        <v>1</v>
      </c>
      <c r="C7" s="4" t="n">
        <v>1200</v>
      </c>
      <c r="D7" s="10" t="n">
        <v>0.1556420233463035</v>
      </c>
    </row>
    <row r="8">
      <c r="A8" s="3" t="inlineStr">
        <is>
          <t>Bought-out</t>
        </is>
      </c>
      <c r="B8" s="3" t="n">
        <v>36</v>
      </c>
      <c r="C8" s="4" t="n">
        <v>620</v>
      </c>
      <c r="D8" s="10" t="n">
        <v>0.08041504539559015</v>
      </c>
    </row>
    <row r="10">
      <c r="A10" s="7" t="inlineStr">
        <is>
          <t>Unique parts</t>
        </is>
      </c>
      <c r="B10" t="n">
        <v>8</v>
      </c>
    </row>
    <row r="11">
      <c r="A11" s="7" t="inlineStr">
        <is>
          <t>Total pieces</t>
        </is>
      </c>
      <c r="B11" t="n">
        <v>46</v>
      </c>
    </row>
    <row r="12">
      <c r="A12" s="7" t="inlineStr">
        <is>
          <t>Grand total</t>
        </is>
      </c>
      <c r="B12" s="11">
        <f>Quote!H16</f>
        <v/>
      </c>
    </row>
  </sheetData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2026-10-19T22:19:31Z</dcterms:created>
  <dcterms:modified xmlns:dcterms="http://purl.org/dc/terms/" xmlns:xsi="http://www.w3.org/2001/XMLSchema-instance" xsi:type="dcterms:W3CDTF">2026-10-19T22:19:31Z</dcterms:modified>
</cp:coreProperties>
</file>